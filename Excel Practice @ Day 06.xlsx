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a14d215c46a4f0/New folder/CODEGNAN EXCEL/"/>
    </mc:Choice>
  </mc:AlternateContent>
  <xr:revisionPtr revIDLastSave="71" documentId="13_ncr:1_{B85AD010-C4ED-4F97-871D-9262F2A8A9BC}" xr6:coauthVersionLast="47" xr6:coauthVersionMax="47" xr10:uidLastSave="{2764ABF8-8F96-4A68-A34A-7ED1DB9DD199}"/>
  <bookViews>
    <workbookView xWindow="-108" yWindow="-108" windowWidth="23256" windowHeight="12456" activeTab="1" xr2:uid="{E03010A2-10A4-4CD2-AD45-567A05CD1053}"/>
  </bookViews>
  <sheets>
    <sheet name="Adv.Xlookup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2" i="2"/>
  <c r="K13" i="2"/>
  <c r="K14" i="2"/>
  <c r="K15" i="2"/>
  <c r="K16" i="2"/>
  <c r="K17" i="2"/>
  <c r="K18" i="2"/>
  <c r="K19" i="2"/>
  <c r="E35" i="2"/>
  <c r="K3" i="2"/>
  <c r="K4" i="2"/>
  <c r="K5" i="2"/>
  <c r="K6" i="2"/>
  <c r="K7" i="2"/>
  <c r="K8" i="2"/>
  <c r="K9" i="2"/>
  <c r="K10" i="2"/>
  <c r="H38" i="2"/>
  <c r="H37" i="2"/>
  <c r="E34" i="2"/>
  <c r="E33" i="2"/>
  <c r="E30" i="2"/>
  <c r="L2" i="2"/>
  <c r="E24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K2" i="1"/>
  <c r="J2" i="1"/>
  <c r="E7" i="1"/>
  <c r="A7" i="1"/>
  <c r="D22" i="1" a="1"/>
  <c r="D22" i="1" s="1"/>
  <c r="F16" i="1"/>
  <c r="E2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<sst xmlns="http://schemas.openxmlformats.org/spreadsheetml/2006/main" count="194" uniqueCount="135">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</sst>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K23"/>
  <sheetViews>
    <sheetView workbookViewId="0">
      <selection activeCell="K3" sqref="K3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11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11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  <c r="J2" t="str">
        <f>_xlfn.XLOOKUP(A2,A2:A5,B2:B5,,2)</f>
        <v>IT</v>
      </c>
      <c r="K2" t="str">
        <f>_xlfn.XLOOKUP("Rahul",A2:A5,B2:B5,,2,-1)</f>
        <v>Finance</v>
      </c>
    </row>
    <row r="3" spans="1:11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11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11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11">
      <c r="E6" s="1">
        <v>100000</v>
      </c>
      <c r="F6" s="4">
        <v>0.15</v>
      </c>
    </row>
    <row r="7" spans="1:11" ht="43.2">
      <c r="A7" t="str">
        <f>_xlfn.XLOOKUP(A2,A2:A5,B2:B5,,0,-1)</f>
        <v>Finance</v>
      </c>
      <c r="E7">
        <f>_xlfn.XLOOKUP(60000,E2:E6,F2:F6,,1)</f>
        <v>0.15</v>
      </c>
      <c r="I7" s="3" t="s">
        <v>16</v>
      </c>
    </row>
    <row r="13" spans="1:11" ht="36">
      <c r="A13" s="13" t="s">
        <v>133</v>
      </c>
      <c r="B13" s="13" t="s">
        <v>11</v>
      </c>
      <c r="C13" s="13" t="s">
        <v>1</v>
      </c>
      <c r="D13" s="13" t="s">
        <v>20</v>
      </c>
      <c r="E13" s="13" t="s">
        <v>24</v>
      </c>
    </row>
    <row r="14" spans="1:11" ht="18">
      <c r="A14" s="14" t="s">
        <v>25</v>
      </c>
      <c r="B14" s="14" t="s">
        <v>4</v>
      </c>
      <c r="C14" s="14" t="s">
        <v>5</v>
      </c>
      <c r="D14" s="14" t="s">
        <v>28</v>
      </c>
      <c r="E14" s="14">
        <v>40000</v>
      </c>
    </row>
    <row r="15" spans="1:11" ht="18">
      <c r="A15" s="14" t="s">
        <v>30</v>
      </c>
      <c r="B15" s="14" t="s">
        <v>2</v>
      </c>
      <c r="C15" s="14" t="s">
        <v>3</v>
      </c>
      <c r="D15" s="14" t="s">
        <v>37</v>
      </c>
      <c r="E15" s="14">
        <v>55000</v>
      </c>
    </row>
    <row r="16" spans="1:11" ht="18">
      <c r="A16" s="14" t="s">
        <v>34</v>
      </c>
      <c r="B16" s="14" t="s">
        <v>134</v>
      </c>
      <c r="C16" s="14" t="s">
        <v>6</v>
      </c>
      <c r="D16" s="14" t="s">
        <v>42</v>
      </c>
      <c r="E16" s="14">
        <v>48000</v>
      </c>
      <c r="F16" t="str">
        <f>_xlfn.XLOOKUP(B16,B14:B17,D14:D17)</f>
        <v>Chennai</v>
      </c>
    </row>
    <row r="17" spans="1:7" ht="18">
      <c r="A17" s="14" t="s">
        <v>39</v>
      </c>
      <c r="B17" s="14" t="s">
        <v>7</v>
      </c>
      <c r="C17" s="14" t="s">
        <v>8</v>
      </c>
      <c r="D17" s="14" t="s">
        <v>28</v>
      </c>
      <c r="E17" s="14">
        <v>42000</v>
      </c>
    </row>
    <row r="21" spans="1:7" ht="36">
      <c r="C21" s="13" t="s">
        <v>133</v>
      </c>
      <c r="D21" s="13" t="s">
        <v>11</v>
      </c>
      <c r="E21" s="13" t="s">
        <v>1</v>
      </c>
      <c r="F21" s="13" t="s">
        <v>20</v>
      </c>
      <c r="G21" s="13" t="s">
        <v>24</v>
      </c>
    </row>
    <row r="22" spans="1:7">
      <c r="C22" t="s">
        <v>25</v>
      </c>
      <c r="D22" t="str" cm="1">
        <f t="array" ref="D22:G22">_xlfn.XLOOKUP(C22,A14:A17,B14:E17)</f>
        <v>Priya</v>
      </c>
      <c r="E22" t="str">
        <v>HR</v>
      </c>
      <c r="F22" t="str">
        <v>Hyderabad</v>
      </c>
      <c r="G22">
        <v>40000</v>
      </c>
    </row>
    <row r="23" spans="1:7">
      <c r="C2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dimension ref="A1:O62"/>
  <sheetViews>
    <sheetView tabSelected="1" workbookViewId="0">
      <selection activeCell="K2" sqref="K2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16.109375" customWidth="1"/>
    <col min="7" max="7" width="16.21875" customWidth="1"/>
    <col min="8" max="8" width="18.5546875" customWidth="1"/>
    <col min="9" max="9" width="12.88671875" customWidth="1"/>
    <col min="10" max="10" width="14.44140625" customWidth="1"/>
  </cols>
  <sheetData>
    <row r="1" spans="1:15">
      <c r="A1" s="8" t="s">
        <v>17</v>
      </c>
      <c r="B1" s="8" t="s">
        <v>18</v>
      </c>
      <c r="C1" s="8" t="s">
        <v>19</v>
      </c>
      <c r="D1" s="8" t="s">
        <v>1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</row>
    <row r="2" spans="1:15">
      <c r="A2" s="3" t="s">
        <v>25</v>
      </c>
      <c r="B2" s="3" t="s">
        <v>26</v>
      </c>
      <c r="C2" s="5" t="s">
        <v>27</v>
      </c>
      <c r="D2" s="3" t="s">
        <v>8</v>
      </c>
      <c r="E2" s="3" t="s">
        <v>28</v>
      </c>
      <c r="F2" s="6">
        <v>44576</v>
      </c>
      <c r="G2" s="6">
        <v>34862</v>
      </c>
      <c r="H2" s="3" t="s">
        <v>29</v>
      </c>
      <c r="I2" s="3">
        <v>45000</v>
      </c>
      <c r="J2" t="str">
        <f>LEFT(H2,3)</f>
        <v>HYD</v>
      </c>
      <c r="K2" t="str">
        <f>RIGHT(H2,3)</f>
        <v>101</v>
      </c>
      <c r="L2" t="str">
        <f>MID(H2,5,3)</f>
        <v>SAL</v>
      </c>
    </row>
    <row r="3" spans="1:15">
      <c r="A3" s="3" t="s">
        <v>30</v>
      </c>
      <c r="B3" s="3" t="s">
        <v>31</v>
      </c>
      <c r="C3" s="5" t="s">
        <v>32</v>
      </c>
      <c r="D3" s="3" t="s">
        <v>6</v>
      </c>
      <c r="E3" s="3" t="s">
        <v>28</v>
      </c>
      <c r="F3" s="6">
        <v>44277</v>
      </c>
      <c r="G3" s="6">
        <v>33821</v>
      </c>
      <c r="H3" s="3" t="s">
        <v>33</v>
      </c>
      <c r="I3" s="3">
        <v>52000</v>
      </c>
      <c r="J3" t="str">
        <f t="shared" ref="J3:J19" si="0">LEFT(H3,3)</f>
        <v>HYD</v>
      </c>
      <c r="K3" t="str">
        <f t="shared" ref="K3:K19" si="1">RIGHT(H3,3)</f>
        <v>102</v>
      </c>
    </row>
    <row r="4" spans="1:15">
      <c r="A4" s="3" t="s">
        <v>34</v>
      </c>
      <c r="B4" s="3" t="s">
        <v>35</v>
      </c>
      <c r="C4" s="5" t="s">
        <v>36</v>
      </c>
      <c r="D4" s="3" t="s">
        <v>3</v>
      </c>
      <c r="E4" s="3" t="s">
        <v>37</v>
      </c>
      <c r="F4" s="6">
        <v>45117</v>
      </c>
      <c r="G4" s="6">
        <v>35844</v>
      </c>
      <c r="H4" s="3" t="s">
        <v>38</v>
      </c>
      <c r="I4" s="3">
        <v>48000</v>
      </c>
      <c r="J4" t="str">
        <f t="shared" si="0"/>
        <v>BLR</v>
      </c>
      <c r="K4" t="str">
        <f t="shared" si="1"/>
        <v>103</v>
      </c>
    </row>
    <row r="5" spans="1:15">
      <c r="A5" s="3" t="s">
        <v>39</v>
      </c>
      <c r="B5" s="3" t="s">
        <v>40</v>
      </c>
      <c r="C5" s="5" t="s">
        <v>41</v>
      </c>
      <c r="D5" s="3" t="s">
        <v>5</v>
      </c>
      <c r="E5" s="3" t="s">
        <v>42</v>
      </c>
      <c r="F5" s="6">
        <v>43866</v>
      </c>
      <c r="G5" s="6">
        <v>33202</v>
      </c>
      <c r="H5" s="3" t="s">
        <v>43</v>
      </c>
      <c r="I5" s="3">
        <v>50000</v>
      </c>
      <c r="J5" t="str">
        <f t="shared" si="0"/>
        <v>CHE</v>
      </c>
      <c r="K5" t="str">
        <f t="shared" si="1"/>
        <v>104</v>
      </c>
    </row>
    <row r="6" spans="1:15">
      <c r="A6" s="3" t="s">
        <v>44</v>
      </c>
      <c r="B6" s="3" t="s">
        <v>45</v>
      </c>
      <c r="C6" s="5" t="s">
        <v>46</v>
      </c>
      <c r="D6" s="3" t="s">
        <v>3</v>
      </c>
      <c r="E6" s="3" t="s">
        <v>28</v>
      </c>
      <c r="F6" s="6">
        <v>44822</v>
      </c>
      <c r="G6" s="6">
        <v>35154</v>
      </c>
      <c r="H6" s="3" t="s">
        <v>47</v>
      </c>
      <c r="I6" s="3">
        <v>60000</v>
      </c>
      <c r="J6" t="str">
        <f t="shared" si="0"/>
        <v>HYD</v>
      </c>
      <c r="K6" t="str">
        <f t="shared" si="1"/>
        <v>105</v>
      </c>
    </row>
    <row r="7" spans="1:15">
      <c r="A7" s="3" t="s">
        <v>48</v>
      </c>
      <c r="B7" s="3" t="s">
        <v>49</v>
      </c>
      <c r="C7" s="5" t="s">
        <v>50</v>
      </c>
      <c r="D7" s="3" t="s">
        <v>8</v>
      </c>
      <c r="E7" s="3" t="s">
        <v>51</v>
      </c>
      <c r="F7" s="6">
        <v>45393</v>
      </c>
      <c r="G7" s="6">
        <v>36539</v>
      </c>
      <c r="H7" s="3" t="s">
        <v>52</v>
      </c>
      <c r="I7" s="3">
        <v>38000</v>
      </c>
      <c r="J7" t="str">
        <f t="shared" si="0"/>
        <v>MUM</v>
      </c>
      <c r="K7" t="str">
        <f t="shared" si="1"/>
        <v>106</v>
      </c>
    </row>
    <row r="8" spans="1:15">
      <c r="A8" s="3" t="s">
        <v>53</v>
      </c>
      <c r="B8" s="3" t="s">
        <v>54</v>
      </c>
      <c r="C8" s="5" t="s">
        <v>55</v>
      </c>
      <c r="D8" s="3" t="s">
        <v>6</v>
      </c>
      <c r="E8" s="3" t="s">
        <v>37</v>
      </c>
      <c r="F8" s="6">
        <v>44527</v>
      </c>
      <c r="G8" s="6">
        <v>34171</v>
      </c>
      <c r="H8" s="3" t="s">
        <v>56</v>
      </c>
      <c r="I8" s="3">
        <v>57000</v>
      </c>
      <c r="J8" t="str">
        <f t="shared" si="0"/>
        <v>BLR</v>
      </c>
      <c r="K8" t="str">
        <f t="shared" si="1"/>
        <v>107</v>
      </c>
    </row>
    <row r="9" spans="1:15">
      <c r="A9" s="3" t="s">
        <v>57</v>
      </c>
      <c r="B9" s="3" t="s">
        <v>58</v>
      </c>
      <c r="C9" s="5" t="s">
        <v>59</v>
      </c>
      <c r="D9" s="3" t="s">
        <v>60</v>
      </c>
      <c r="E9" s="3" t="s">
        <v>28</v>
      </c>
      <c r="F9" s="6">
        <v>44935</v>
      </c>
      <c r="G9" s="6">
        <v>35706</v>
      </c>
      <c r="H9" s="3" t="s">
        <v>61</v>
      </c>
      <c r="I9" s="3">
        <v>42000</v>
      </c>
      <c r="J9" t="str">
        <f t="shared" si="0"/>
        <v>HYD</v>
      </c>
      <c r="K9" t="str">
        <f t="shared" si="1"/>
        <v>108</v>
      </c>
    </row>
    <row r="10" spans="1:15">
      <c r="A10" s="3" t="s">
        <v>62</v>
      </c>
      <c r="B10" s="3" t="s">
        <v>63</v>
      </c>
      <c r="C10" s="5" t="s">
        <v>64</v>
      </c>
      <c r="D10" s="3" t="s">
        <v>5</v>
      </c>
      <c r="E10" s="3" t="s">
        <v>51</v>
      </c>
      <c r="F10" s="6">
        <v>43996</v>
      </c>
      <c r="G10" s="6">
        <v>33374</v>
      </c>
      <c r="H10" s="3" t="s">
        <v>65</v>
      </c>
      <c r="I10" s="3">
        <v>55000</v>
      </c>
      <c r="J10" t="str">
        <f t="shared" si="0"/>
        <v>MUM</v>
      </c>
      <c r="K10" t="str">
        <f t="shared" si="1"/>
        <v>109</v>
      </c>
    </row>
    <row r="11" spans="1:15">
      <c r="A11" s="3" t="s">
        <v>66</v>
      </c>
      <c r="B11" s="3" t="s">
        <v>67</v>
      </c>
      <c r="C11" s="5" t="s">
        <v>68</v>
      </c>
      <c r="D11" s="3" t="s">
        <v>3</v>
      </c>
      <c r="E11" s="3" t="s">
        <v>42</v>
      </c>
      <c r="F11" s="6">
        <v>45168</v>
      </c>
      <c r="G11" s="6">
        <v>36503</v>
      </c>
      <c r="H11" s="3" t="s">
        <v>69</v>
      </c>
      <c r="I11" s="3">
        <v>47000</v>
      </c>
      <c r="J11" t="str">
        <f t="shared" si="0"/>
        <v>CHE</v>
      </c>
      <c r="K11" t="str">
        <f t="shared" si="1"/>
        <v>110</v>
      </c>
    </row>
    <row r="12" spans="1:15">
      <c r="A12" s="3" t="s">
        <v>70</v>
      </c>
      <c r="B12" s="3" t="s">
        <v>71</v>
      </c>
      <c r="C12" s="5" t="s">
        <v>72</v>
      </c>
      <c r="D12" s="3" t="s">
        <v>8</v>
      </c>
      <c r="E12" s="3" t="s">
        <v>28</v>
      </c>
      <c r="F12" s="6">
        <v>44604</v>
      </c>
      <c r="G12" s="6">
        <v>34451</v>
      </c>
      <c r="H12" s="3" t="s">
        <v>73</v>
      </c>
      <c r="I12" s="3">
        <v>46000</v>
      </c>
      <c r="J12" t="str">
        <f t="shared" si="0"/>
        <v>HYD</v>
      </c>
      <c r="K12" t="str">
        <f t="shared" si="1"/>
        <v>111</v>
      </c>
    </row>
    <row r="13" spans="1:15">
      <c r="A13" s="3" t="s">
        <v>74</v>
      </c>
      <c r="B13" s="3" t="s">
        <v>75</v>
      </c>
      <c r="C13" s="5" t="s">
        <v>76</v>
      </c>
      <c r="D13" s="3" t="s">
        <v>6</v>
      </c>
      <c r="E13" s="3" t="s">
        <v>51</v>
      </c>
      <c r="F13" s="6">
        <v>44341</v>
      </c>
      <c r="G13" s="6">
        <v>32762</v>
      </c>
      <c r="H13" s="3" t="s">
        <v>77</v>
      </c>
      <c r="I13" s="3">
        <v>65000</v>
      </c>
      <c r="J13" t="str">
        <f t="shared" si="0"/>
        <v>MUM</v>
      </c>
      <c r="K13" t="str">
        <f t="shared" si="1"/>
        <v>112</v>
      </c>
    </row>
    <row r="14" spans="1:15">
      <c r="A14" s="3" t="s">
        <v>78</v>
      </c>
      <c r="B14" s="3" t="s">
        <v>79</v>
      </c>
      <c r="C14" s="5" t="s">
        <v>80</v>
      </c>
      <c r="D14" s="3" t="s">
        <v>60</v>
      </c>
      <c r="E14" s="3" t="s">
        <v>37</v>
      </c>
      <c r="F14" s="6">
        <v>45572</v>
      </c>
      <c r="G14" s="6">
        <v>36910</v>
      </c>
      <c r="H14" s="3" t="s">
        <v>81</v>
      </c>
      <c r="I14" s="3">
        <v>40000</v>
      </c>
      <c r="J14" t="str">
        <f t="shared" si="0"/>
        <v>BLR</v>
      </c>
      <c r="K14" t="str">
        <f t="shared" si="1"/>
        <v>113</v>
      </c>
    </row>
    <row r="15" spans="1:15">
      <c r="A15" s="3" t="s">
        <v>82</v>
      </c>
      <c r="B15" s="3" t="s">
        <v>83</v>
      </c>
      <c r="C15" s="5" t="s">
        <v>84</v>
      </c>
      <c r="D15" s="3" t="s">
        <v>3</v>
      </c>
      <c r="E15" s="3" t="s">
        <v>28</v>
      </c>
      <c r="F15" s="6">
        <v>44911</v>
      </c>
      <c r="G15" s="6">
        <v>34888</v>
      </c>
      <c r="H15" s="3" t="s">
        <v>85</v>
      </c>
      <c r="I15" s="3">
        <v>58000</v>
      </c>
      <c r="J15" t="str">
        <f t="shared" si="0"/>
        <v>HYD</v>
      </c>
      <c r="K15" t="str">
        <f t="shared" si="1"/>
        <v>114</v>
      </c>
    </row>
    <row r="16" spans="1:15">
      <c r="A16" s="3" t="s">
        <v>86</v>
      </c>
      <c r="B16" s="3" t="s">
        <v>87</v>
      </c>
      <c r="C16" s="5" t="s">
        <v>88</v>
      </c>
      <c r="D16" s="3" t="s">
        <v>5</v>
      </c>
      <c r="E16" s="3" t="s">
        <v>42</v>
      </c>
      <c r="F16" s="6">
        <v>44988</v>
      </c>
      <c r="G16" s="6">
        <v>35756</v>
      </c>
      <c r="H16" s="3" t="s">
        <v>89</v>
      </c>
      <c r="I16" s="3">
        <v>43000</v>
      </c>
      <c r="J16" t="str">
        <f t="shared" si="0"/>
        <v>CHE</v>
      </c>
      <c r="K16" t="str">
        <f t="shared" si="1"/>
        <v>115</v>
      </c>
    </row>
    <row r="17" spans="1:11">
      <c r="A17" s="3" t="s">
        <v>90</v>
      </c>
      <c r="B17" s="3" t="s">
        <v>91</v>
      </c>
      <c r="C17" s="5" t="s">
        <v>92</v>
      </c>
      <c r="D17" s="3" t="s">
        <v>8</v>
      </c>
      <c r="E17" s="3" t="s">
        <v>51</v>
      </c>
      <c r="F17" s="6">
        <v>44001</v>
      </c>
      <c r="G17" s="6">
        <v>32919</v>
      </c>
      <c r="H17" s="3" t="s">
        <v>93</v>
      </c>
      <c r="I17" s="3">
        <v>51000</v>
      </c>
      <c r="J17" t="str">
        <f t="shared" si="0"/>
        <v>MUM</v>
      </c>
      <c r="K17" t="str">
        <f t="shared" si="1"/>
        <v>116</v>
      </c>
    </row>
    <row r="18" spans="1:11">
      <c r="A18" s="3" t="s">
        <v>94</v>
      </c>
      <c r="B18" s="3" t="s">
        <v>95</v>
      </c>
      <c r="C18" s="5" t="s">
        <v>96</v>
      </c>
      <c r="D18" s="3" t="s">
        <v>6</v>
      </c>
      <c r="E18" s="3" t="s">
        <v>28</v>
      </c>
      <c r="F18" s="6">
        <v>45319</v>
      </c>
      <c r="G18" s="6">
        <v>36072</v>
      </c>
      <c r="H18" s="3" t="s">
        <v>97</v>
      </c>
      <c r="I18" s="3">
        <v>49000</v>
      </c>
      <c r="J18" t="str">
        <f t="shared" si="0"/>
        <v>HYD</v>
      </c>
      <c r="K18" t="str">
        <f t="shared" si="1"/>
        <v>117</v>
      </c>
    </row>
    <row r="19" spans="1:11">
      <c r="A19" s="3" t="s">
        <v>98</v>
      </c>
      <c r="B19" s="3" t="s">
        <v>99</v>
      </c>
      <c r="C19" s="5" t="s">
        <v>100</v>
      </c>
      <c r="D19" s="3" t="s">
        <v>60</v>
      </c>
      <c r="E19" s="3" t="s">
        <v>42</v>
      </c>
      <c r="F19" s="6">
        <v>44421</v>
      </c>
      <c r="G19" s="6">
        <v>34118</v>
      </c>
      <c r="H19" s="3" t="s">
        <v>101</v>
      </c>
      <c r="I19" s="3">
        <v>53000</v>
      </c>
      <c r="J19" t="str">
        <f t="shared" si="0"/>
        <v>CHE</v>
      </c>
      <c r="K19" t="str">
        <f t="shared" si="1"/>
        <v>118</v>
      </c>
    </row>
    <row r="20" spans="1:11">
      <c r="A20" s="3"/>
      <c r="B20" s="3"/>
      <c r="C20" s="5"/>
      <c r="D20" s="3"/>
      <c r="E20" s="3"/>
      <c r="F20" s="7"/>
      <c r="G20" s="3"/>
      <c r="H20" s="3"/>
      <c r="I20" s="3"/>
    </row>
    <row r="24" spans="1:11">
      <c r="B24" s="9" t="s">
        <v>102</v>
      </c>
      <c r="E24" t="str">
        <f>LEFT(H2,3)</f>
        <v>HYD</v>
      </c>
    </row>
    <row r="25" spans="1:11">
      <c r="B25" s="9" t="s">
        <v>103</v>
      </c>
    </row>
    <row r="26" spans="1:11">
      <c r="B26" s="9"/>
    </row>
    <row r="27" spans="1:11">
      <c r="B27" s="9" t="s">
        <v>104</v>
      </c>
      <c r="E27" t="str">
        <f>RIGHT(H2,3)</f>
        <v>101</v>
      </c>
    </row>
    <row r="28" spans="1:11">
      <c r="B28" s="9" t="s">
        <v>105</v>
      </c>
    </row>
    <row r="29" spans="1:11">
      <c r="B29" s="9"/>
    </row>
    <row r="30" spans="1:11">
      <c r="B30" s="9" t="s">
        <v>106</v>
      </c>
      <c r="E30" t="str">
        <f>MID(H2,5,3)</f>
        <v>SAL</v>
      </c>
    </row>
    <row r="31" spans="1:11">
      <c r="B31" s="9" t="s">
        <v>107</v>
      </c>
    </row>
    <row r="32" spans="1:11">
      <c r="B32" s="9"/>
    </row>
    <row r="33" spans="2:8">
      <c r="B33" s="9" t="s">
        <v>108</v>
      </c>
      <c r="E33">
        <f>LEN(B2)</f>
        <v>12</v>
      </c>
    </row>
    <row r="34" spans="2:8">
      <c r="B34" s="9" t="s">
        <v>109</v>
      </c>
      <c r="E34" t="str">
        <f>TRIM(B2)</f>
        <v>rahul sharma</v>
      </c>
    </row>
    <row r="35" spans="2:8">
      <c r="B35" s="9" t="s">
        <v>110</v>
      </c>
      <c r="E35" t="str">
        <f>PROPER(B2)</f>
        <v>Rahul Sharma</v>
      </c>
    </row>
    <row r="36" spans="2:8">
      <c r="B36" s="9" t="s">
        <v>111</v>
      </c>
    </row>
    <row r="37" spans="2:8">
      <c r="B37" s="9" t="s">
        <v>112</v>
      </c>
      <c r="H37" t="str">
        <f>TRIM(B4)</f>
        <v>anil kumar</v>
      </c>
    </row>
    <row r="38" spans="2:8">
      <c r="B38" s="9" t="s">
        <v>113</v>
      </c>
      <c r="H38">
        <f>SEARCH("@",C2)</f>
        <v>13</v>
      </c>
    </row>
    <row r="39" spans="2:8">
      <c r="B39" s="9" t="s">
        <v>114</v>
      </c>
    </row>
    <row r="40" spans="2:8">
      <c r="B40" s="9" t="s">
        <v>115</v>
      </c>
    </row>
    <row r="41" spans="2:8">
      <c r="B41" s="9" t="s">
        <v>116</v>
      </c>
    </row>
    <row r="42" spans="2:8">
      <c r="B42" s="9" t="s">
        <v>117</v>
      </c>
    </row>
    <row r="43" spans="2:8">
      <c r="B43" s="9" t="s">
        <v>118</v>
      </c>
    </row>
    <row r="44" spans="2:8">
      <c r="B44" s="9" t="s">
        <v>119</v>
      </c>
    </row>
    <row r="45" spans="2:8">
      <c r="B45" s="10" t="s">
        <v>120</v>
      </c>
    </row>
    <row r="46" spans="2:8">
      <c r="B46" s="9" t="s">
        <v>121</v>
      </c>
    </row>
    <row r="47" spans="2:8">
      <c r="B47" s="10" t="s">
        <v>122</v>
      </c>
    </row>
    <row r="48" spans="2:8">
      <c r="B48" s="9" t="s">
        <v>123</v>
      </c>
    </row>
    <row r="52" spans="2:2" ht="31.2">
      <c r="B52" s="11" t="s">
        <v>124</v>
      </c>
    </row>
    <row r="53" spans="2:2">
      <c r="B53" s="9"/>
    </row>
    <row r="54" spans="2:2">
      <c r="B54" s="9" t="s">
        <v>125</v>
      </c>
    </row>
    <row r="55" spans="2:2">
      <c r="B55" s="9" t="s">
        <v>126</v>
      </c>
    </row>
    <row r="56" spans="2:2">
      <c r="B56" s="9" t="s">
        <v>127</v>
      </c>
    </row>
    <row r="57" spans="2:2">
      <c r="B57" s="9" t="s">
        <v>128</v>
      </c>
    </row>
    <row r="58" spans="2:2">
      <c r="B58" s="9" t="s">
        <v>129</v>
      </c>
    </row>
    <row r="59" spans="2:2">
      <c r="B59" s="9" t="s">
        <v>130</v>
      </c>
    </row>
    <row r="60" spans="2:2">
      <c r="B60" s="9" t="s">
        <v>131</v>
      </c>
    </row>
    <row r="61" spans="2:2">
      <c r="B61" s="12">
        <v>44562</v>
      </c>
    </row>
    <row r="62" spans="2:2">
      <c r="B62" s="9" t="s">
        <v>132</v>
      </c>
    </row>
  </sheetData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SHAIK MAHAMMAD RAFI</cp:lastModifiedBy>
  <dcterms:created xsi:type="dcterms:W3CDTF">2026-09-10T17:11:08Z</dcterms:created>
  <dcterms:modified xsi:type="dcterms:W3CDTF">2026-09-30T09:24:30Z</dcterms:modified>
</cp:coreProperties>
</file>