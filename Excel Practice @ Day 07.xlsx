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a14d215c46a4f0/New folder/CODEGNAN EXCEL/"/>
    </mc:Choice>
  </mc:AlternateContent>
  <xr:revisionPtr revIDLastSave="117" documentId="13_ncr:1_{A6FF8F28-2E64-4B46-BD94-932E9B6C9D8E}" xr6:coauthVersionLast="47" xr6:coauthVersionMax="47" xr10:uidLastSave="{BD2B5520-5A6E-4D52-90D5-897BC2737E44}"/>
  <bookViews>
    <workbookView xWindow="-108" yWindow="-108" windowWidth="23256" windowHeight="12456" activeTab="4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5" l="1"/>
  <c r="L9" i="5"/>
  <c r="L8" i="5"/>
  <c r="K10" i="5"/>
  <c r="K9" i="5"/>
  <c r="L7" i="5"/>
  <c r="K8" i="5"/>
  <c r="K7" i="5"/>
  <c r="F10" i="6"/>
  <c r="I10" i="4" a="1"/>
  <c r="I10" i="4" s="1"/>
  <c r="L2" i="4" a="1"/>
  <c r="L2" i="4" s="1"/>
  <c r="I2" i="4" a="1"/>
  <c r="I2" i="4" s="1"/>
  <c r="K2" i="4" a="1"/>
  <c r="K2" i="4" s="1"/>
  <c r="J2" i="4" a="1"/>
  <c r="J2" i="4" s="1"/>
  <c r="C7" i="2" a="1"/>
  <c r="C7" i="2" s="1"/>
  <c r="B7" i="2" a="1"/>
  <c r="B7" i="2" s="1"/>
  <c r="G11" i="1"/>
  <c r="G10" i="1"/>
  <c r="G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<sst xmlns="http://schemas.openxmlformats.org/spreadsheetml/2006/main" count="193" uniqueCount="87">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</sst>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workbookViewId="0">
      <selection activeCell="G14" sqref="G14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  <col min="7" max="7" width="12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>
        <v>2.2222222222222199E+27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</row>
    <row r="9" spans="1:7">
      <c r="A9" t="s">
        <v>21</v>
      </c>
      <c r="F9" s="6"/>
      <c r="G9">
        <f>_xlfn.XLOOKUP("Rahul",B2:B5,E2:E5)</f>
        <v>55000</v>
      </c>
    </row>
    <row r="10" spans="1:7">
      <c r="A10" t="s">
        <v>22</v>
      </c>
      <c r="F10" s="6"/>
      <c r="G10" t="str">
        <f>_xlfn.XLOOKUP("E103",A2:A5,B2:B5)</f>
        <v>Anil</v>
      </c>
    </row>
    <row r="11" spans="1:7">
      <c r="A11" t="s">
        <v>23</v>
      </c>
      <c r="F11" s="6"/>
      <c r="G11" t="str">
        <f>_xlfn.XLOOKUP("E104",A2:A5,D2:D5)</f>
        <v>Hyderabad</v>
      </c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D13" sqref="D13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  <c r="B7" t="str" cm="1">
        <f t="array" ref="B7:B10">HLOOKUP(A7:A10,$B$1:$E$4,2,FALSE)</f>
        <v>Laptop</v>
      </c>
      <c r="C7" cm="1">
        <f t="array" ref="C7:C10">HLOOKUP(A7:A10,$B$1:$E$4,3,FALSE)</f>
        <v>55000</v>
      </c>
    </row>
    <row r="8" spans="1:5">
      <c r="A8" s="7" t="s">
        <v>29</v>
      </c>
      <c r="B8" t="str">
        <v>Mouse</v>
      </c>
      <c r="C8">
        <v>800</v>
      </c>
    </row>
    <row r="9" spans="1:5">
      <c r="A9" s="7" t="s">
        <v>30</v>
      </c>
      <c r="B9" t="str">
        <v>Keyboard</v>
      </c>
      <c r="C9">
        <v>1500</v>
      </c>
    </row>
    <row r="10" spans="1:5">
      <c r="A10" s="7" t="s">
        <v>31</v>
      </c>
      <c r="B10" t="str">
        <v>Monitor</v>
      </c>
      <c r="C10">
        <v>12000</v>
      </c>
    </row>
    <row r="11" spans="1:5">
      <c r="A11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D4" sqref="D4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I15" sqref="I15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 cm="1">
        <f t="array" ref="I2:I6">_xlfn.XLOOKUP(H2:H6,A2:A16,B2:B16)</f>
        <v>Keyboard</v>
      </c>
      <c r="J2" s="5" t="str" cm="1">
        <f t="array" ref="J2:J6">_xlfn.XLOOKUP(H2:H6,$A$2:$A$16,$C$2:$C$16)</f>
        <v>Accessories</v>
      </c>
      <c r="K2" s="5" t="str" cm="1">
        <f t="array" ref="K2:K6">_xlfn.XLOOKUP(H2:H6,A2:A16,D2:D16)</f>
        <v>HP</v>
      </c>
      <c r="L2" s="5" cm="1">
        <f t="array" ref="L2:L6">_xlfn.XLOOKUP(H2:H6,A2:A16,E2:E16)</f>
        <v>1800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v>Headphones</v>
      </c>
      <c r="J3" s="5" t="str">
        <v>Accessories</v>
      </c>
      <c r="K3" s="5" t="str">
        <v>Sony</v>
      </c>
      <c r="L3" s="5">
        <v>3500</v>
      </c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v>Tablet</v>
      </c>
      <c r="J4" s="5" t="str">
        <v>Electronics</v>
      </c>
      <c r="K4" s="5" t="str">
        <v>Lenovo</v>
      </c>
      <c r="L4" s="5">
        <v>28000</v>
      </c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v>SSD</v>
      </c>
      <c r="J5" s="5" t="str">
        <v>Storage</v>
      </c>
      <c r="K5" s="5" t="str">
        <v>Samsung</v>
      </c>
      <c r="L5" s="5">
        <v>7500</v>
      </c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>
        <v>Laptop</v>
      </c>
      <c r="J6" s="5" t="str">
        <v>Electronics</v>
      </c>
      <c r="K6" s="5" t="str">
        <v>Dell</v>
      </c>
      <c r="L6" s="5">
        <v>55000</v>
      </c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 cm="1">
        <f t="array" ref="I10:I14">_xlfn.XLOOKUP(H10:H14,B2:B16,A2:A16)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v>P105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v>P112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v>P113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tabSelected="1" topLeftCell="A3" workbookViewId="0">
      <selection activeCell="L10" sqref="L10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3">
        <f>MATCH(Practice!B2,Practice!B2:B16,0)</f>
        <v>1</v>
      </c>
      <c r="L7" s="11" t="str">
        <f>INDEX(Practice!A2:E16,1,2)</f>
        <v>Laptop</v>
      </c>
    </row>
    <row r="8" spans="10:12" ht="21">
      <c r="J8" s="10" t="s">
        <v>34</v>
      </c>
      <c r="K8" s="11">
        <f>MATCH(Practice!B3,Practice!B2:B16,0)</f>
        <v>2</v>
      </c>
      <c r="L8" s="11" t="str">
        <f>INDEX(Practice!A2:E16,2,2)</f>
        <v>Wireless Mouse</v>
      </c>
    </row>
    <row r="9" spans="10:12" ht="21">
      <c r="J9" s="10" t="s">
        <v>35</v>
      </c>
      <c r="K9" s="11">
        <f>MATCH(Practice!B4,Practice!B2:B16,0)</f>
        <v>3</v>
      </c>
      <c r="L9" s="11" t="str">
        <f>INDEX(Practice!A2:E16,3,2)</f>
        <v>Keyboard</v>
      </c>
    </row>
    <row r="10" spans="10:12" ht="21">
      <c r="J10" s="10" t="s">
        <v>36</v>
      </c>
      <c r="K10" s="11">
        <f>MATCH(Practice!B5,Practice!B2:B16,0)</f>
        <v>4</v>
      </c>
      <c r="L10" s="11" t="str">
        <f>INDEX(Practice!A2:E16,4,2)</f>
        <v>Monitor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F10" sqref="F10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 t="str">
        <f>_xlfn.XLOOKUP("Wireless Mouse",B2:B6,C2:C6)</f>
        <v>Accessories</v>
      </c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SHAIK MAHAMMAD RAFI</cp:lastModifiedBy>
  <dcterms:created xsi:type="dcterms:W3CDTF">2026-09-09T14:34:29Z</dcterms:created>
  <dcterms:modified xsi:type="dcterms:W3CDTF">2026-10-01T11:39:59Z</dcterms:modified>
</cp:coreProperties>
</file>